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登记表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<sst xmlns="http://schemas.openxmlformats.org/spreadsheetml/2006/main" count="109" uniqueCount="45">
  <si>
    <t>清明节假期值班登记表</t>
  </si>
  <si>
    <t>假期安排：</t>
  </si>
  <si>
    <t>-</t>
  </si>
  <si>
    <t>查询：姓名</t>
  </si>
  <si>
    <t>班次</t>
  </si>
  <si>
    <t>标识</t>
  </si>
  <si>
    <t>备注</t>
  </si>
  <si>
    <t>合计天数：</t>
  </si>
  <si>
    <t>丁小欧</t>
  </si>
  <si>
    <t>序号</t>
  </si>
  <si>
    <t>工号</t>
  </si>
  <si>
    <t>员工姓名</t>
  </si>
  <si>
    <t>性别</t>
  </si>
  <si>
    <t>任职部门</t>
  </si>
  <si>
    <t>担任职务</t>
  </si>
  <si>
    <t>联系电话</t>
  </si>
  <si>
    <t>值班日期</t>
  </si>
  <si>
    <t>TL00234</t>
  </si>
  <si>
    <t>丁小七</t>
  </si>
  <si>
    <t>男</t>
  </si>
  <si>
    <t>销售部</t>
  </si>
  <si>
    <t>销售顾问</t>
  </si>
  <si>
    <t>早班</t>
  </si>
  <si>
    <t>TL00235</t>
  </si>
  <si>
    <t>丁晓雯</t>
  </si>
  <si>
    <t>女</t>
  </si>
  <si>
    <t>晚班</t>
  </si>
  <si>
    <t>TL00236</t>
  </si>
  <si>
    <t>丁小茹</t>
  </si>
  <si>
    <t>通班</t>
  </si>
  <si>
    <t>TL00237</t>
  </si>
  <si>
    <t>TL00238</t>
  </si>
  <si>
    <t>丁小果</t>
  </si>
  <si>
    <t>TL00239</t>
  </si>
  <si>
    <t>丁小数</t>
  </si>
  <si>
    <t>设计部</t>
  </si>
  <si>
    <t>设计师</t>
  </si>
  <si>
    <t>TL00240</t>
  </si>
  <si>
    <t>丁小安</t>
  </si>
  <si>
    <t>TL00241</t>
  </si>
  <si>
    <t>丁晓蕾</t>
  </si>
  <si>
    <t>TL00242</t>
  </si>
  <si>
    <t>丁小高</t>
  </si>
  <si>
    <t>TL00243</t>
  </si>
  <si>
    <t>丁小麦</t>
  </si>
</sst>
</file>

<file path=xl/styles.xml><?xml version="1.0" encoding="utf-8"?>
<styleSheet xmlns="http://schemas.openxmlformats.org/spreadsheetml/2006/main">
  <numFmts count="6">
    <numFmt numFmtId="176" formatCode="yyyy\-mm\-dd;@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[=0]&quot;&quot;;General"/>
  </numFmts>
  <fonts count="27">
    <font>
      <sz val="11"/>
      <color theme="1"/>
      <name val="方正姚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黑体"/>
      <charset val="134"/>
    </font>
    <font>
      <b/>
      <sz val="26"/>
      <color theme="0"/>
      <name val="黑体"/>
      <charset val="134"/>
    </font>
    <font>
      <b/>
      <sz val="10"/>
      <color theme="0"/>
      <name val="黑体"/>
      <charset val="134"/>
    </font>
    <font>
      <b/>
      <u/>
      <sz val="10"/>
      <color rgb="FFC00000"/>
      <name val="黑体"/>
      <charset val="134"/>
    </font>
    <font>
      <b/>
      <sz val="10"/>
      <color rgb="FFC00000"/>
      <name val="黑体"/>
      <charset val="134"/>
    </font>
    <font>
      <sz val="11"/>
      <color theme="0"/>
      <name val="方正姚体"/>
      <charset val="0"/>
      <scheme val="minor"/>
    </font>
    <font>
      <b/>
      <sz val="11"/>
      <color theme="3"/>
      <name val="方正姚体"/>
      <charset val="134"/>
      <scheme val="minor"/>
    </font>
    <font>
      <sz val="11"/>
      <color theme="1"/>
      <name val="方正姚体"/>
      <charset val="134"/>
      <scheme val="minor"/>
    </font>
    <font>
      <sz val="11"/>
      <color rgb="FF9C0006"/>
      <name val="方正姚体"/>
      <charset val="0"/>
      <scheme val="minor"/>
    </font>
    <font>
      <sz val="11"/>
      <color theme="1"/>
      <name val="方正姚体"/>
      <charset val="0"/>
      <scheme val="minor"/>
    </font>
    <font>
      <b/>
      <sz val="11"/>
      <color rgb="FFFFFFFF"/>
      <name val="方正姚体"/>
      <charset val="0"/>
      <scheme val="minor"/>
    </font>
    <font>
      <b/>
      <sz val="11"/>
      <color rgb="FFFA7D00"/>
      <name val="方正姚体"/>
      <charset val="0"/>
      <scheme val="minor"/>
    </font>
    <font>
      <b/>
      <sz val="11"/>
      <color theme="1"/>
      <name val="方正姚体"/>
      <charset val="0"/>
      <scheme val="minor"/>
    </font>
    <font>
      <b/>
      <sz val="18"/>
      <color theme="3"/>
      <name val="方正姚体"/>
      <charset val="134"/>
      <scheme val="minor"/>
    </font>
    <font>
      <sz val="11"/>
      <color rgb="FF3F3F76"/>
      <name val="方正姚体"/>
      <charset val="0"/>
      <scheme val="minor"/>
    </font>
    <font>
      <sz val="11"/>
      <color rgb="FFFA7D00"/>
      <name val="方正姚体"/>
      <charset val="0"/>
      <scheme val="minor"/>
    </font>
    <font>
      <sz val="11"/>
      <color rgb="FFFF0000"/>
      <name val="方正姚体"/>
      <charset val="0"/>
      <scheme val="minor"/>
    </font>
    <font>
      <u/>
      <sz val="11"/>
      <color rgb="FF800080"/>
      <name val="方正姚体"/>
      <charset val="0"/>
      <scheme val="minor"/>
    </font>
    <font>
      <u/>
      <sz val="11"/>
      <color rgb="FF0000FF"/>
      <name val="方正姚体"/>
      <charset val="0"/>
      <scheme val="minor"/>
    </font>
    <font>
      <i/>
      <sz val="11"/>
      <color rgb="FF7F7F7F"/>
      <name val="方正姚体"/>
      <charset val="0"/>
      <scheme val="minor"/>
    </font>
    <font>
      <b/>
      <sz val="15"/>
      <color theme="3"/>
      <name val="方正姚体"/>
      <charset val="134"/>
      <scheme val="minor"/>
    </font>
    <font>
      <b/>
      <sz val="13"/>
      <color theme="3"/>
      <name val="方正姚体"/>
      <charset val="134"/>
      <scheme val="minor"/>
    </font>
    <font>
      <b/>
      <sz val="11"/>
      <color rgb="FF3F3F3F"/>
      <name val="方正姚体"/>
      <charset val="0"/>
      <scheme val="minor"/>
    </font>
    <font>
      <sz val="11"/>
      <color rgb="FF9C6500"/>
      <name val="方正姚体"/>
      <charset val="0"/>
      <scheme val="minor"/>
    </font>
    <font>
      <sz val="11"/>
      <color rgb="FF006100"/>
      <name val="方正姚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13" borderId="17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8" borderId="21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4" fillId="9" borderId="23" applyNumberFormat="0" applyAlignment="0" applyProtection="0">
      <alignment vertical="center"/>
    </xf>
    <xf numFmtId="0" fontId="13" fillId="9" borderId="17" applyNumberFormat="0" applyAlignment="0" applyProtection="0">
      <alignment vertical="center"/>
    </xf>
    <xf numFmtId="0" fontId="12" fillId="8" borderId="16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5">
    <dxf>
      <font>
        <color rgb="FF006100"/>
      </font>
      <fill>
        <patternFill patternType="none"/>
      </fill>
    </dxf>
    <dxf>
      <font>
        <color rgb="FF9C65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8"/>
        </patternFill>
      </fill>
    </dxf>
    <dxf>
      <font>
        <color rgb="FF9C65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沉稳">
  <a:themeElements>
    <a:clrScheme name="Foundry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Foundry">
      <a:maj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Foundry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80000"/>
              </a:schemeClr>
            </a:gs>
            <a:gs pos="62000">
              <a:schemeClr val="phClr">
                <a:tint val="30000"/>
                <a:satMod val="180000"/>
              </a:schemeClr>
            </a:gs>
            <a:gs pos="100000">
              <a:schemeClr val="phClr">
                <a:tint val="22000"/>
                <a:satMod val="18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58000"/>
                <a:satMod val="150000"/>
              </a:schemeClr>
            </a:gs>
            <a:gs pos="72000">
              <a:schemeClr val="phClr">
                <a:tint val="90000"/>
                <a:satMod val="135000"/>
              </a:schemeClr>
            </a:gs>
            <a:gs pos="100000">
              <a:schemeClr val="phClr">
                <a:tint val="8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80000"/>
            </a:schemeClr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000000"/>
            </a:lightRig>
          </a:scene3d>
          <a:sp3d prstMaterial="matte">
            <a:bevelT w="635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5000"/>
                <a:satMod val="400000"/>
              </a:schemeClr>
            </a:gs>
            <a:gs pos="20000">
              <a:schemeClr val="phClr">
                <a:tint val="80000"/>
                <a:satMod val="355000"/>
              </a:schemeClr>
            </a:gs>
            <a:gs pos="100000">
              <a:schemeClr val="phClr">
                <a:tint val="95000"/>
                <a:shade val="55000"/>
                <a:satMod val="355000"/>
              </a:schemeClr>
            </a:gs>
          </a:gsLst>
          <a:path path="circle">
            <a:fillToRect l="67500" t="35000" r="32500" b="65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0"/>
                <a:satMod val="120000"/>
              </a:schemeClr>
              <a:schemeClr val="phClr">
                <a:tint val="70000"/>
                <a:satMod val="250000"/>
              </a:schemeClr>
            </a:duotone>
          </a:blip>
          <a:tile tx="0" ty="0" sx="50000" sy="50000" flip="none" algn="t"/>
        </a:blip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R33"/>
  <sheetViews>
    <sheetView showGridLines="0" tabSelected="1" zoomScale="80" zoomScaleNormal="80" workbookViewId="0">
      <selection activeCell="A1" sqref="A1"/>
    </sheetView>
  </sheetViews>
  <sheetFormatPr defaultColWidth="9" defaultRowHeight="14"/>
  <cols>
    <col min="1" max="1" width="10.6363636363636" style="2" customWidth="1"/>
    <col min="2" max="2" width="4.63636363636364" style="2" customWidth="1"/>
    <col min="3" max="3" width="8.63636363636364" style="2" customWidth="1"/>
    <col min="4" max="4" width="10.6363636363636" style="2" customWidth="1"/>
    <col min="5" max="5" width="4.63636363636364" style="2" customWidth="1"/>
    <col min="6" max="7" width="10.6363636363636" style="2" customWidth="1"/>
    <col min="8" max="8" width="12.6363636363636" style="2" customWidth="1"/>
    <col min="9" max="9" width="10.6363636363636" style="3" customWidth="1"/>
    <col min="10" max="10" width="6.63636363636364" style="2" customWidth="1"/>
    <col min="11" max="11" width="4.63636363636364" style="2" customWidth="1"/>
    <col min="12" max="12" width="10.6363636363636" style="3" customWidth="1"/>
    <col min="13" max="13" width="6.63636363636364" style="2" customWidth="1"/>
    <col min="14" max="14" width="4.63636363636364" style="2" customWidth="1"/>
    <col min="15" max="15" width="10.6363636363636" style="3" customWidth="1"/>
    <col min="16" max="16" width="6.63636363636364" style="2" customWidth="1"/>
    <col min="17" max="17" width="4.63636363636364" style="2" customWidth="1"/>
    <col min="18" max="21" width="10.6363636363636" style="2" customWidth="1"/>
    <col min="22" max="16384" width="9" style="2"/>
  </cols>
  <sheetData>
    <row r="1" ht="20" customHeight="1"/>
    <row r="2" ht="50" customHeight="1" spans="2:18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0" customHeight="1"/>
    <row r="4" ht="20" customHeight="1" spans="2:18">
      <c r="B4" s="5" t="s">
        <v>1</v>
      </c>
      <c r="C4" s="6"/>
      <c r="D4" s="7">
        <v>44289</v>
      </c>
      <c r="E4" s="8" t="s">
        <v>2</v>
      </c>
      <c r="F4" s="9">
        <v>44291</v>
      </c>
      <c r="H4" s="5" t="s">
        <v>3</v>
      </c>
      <c r="I4" s="21">
        <v>44289</v>
      </c>
      <c r="J4" s="6" t="s">
        <v>4</v>
      </c>
      <c r="K4" s="6" t="s">
        <v>5</v>
      </c>
      <c r="L4" s="21">
        <v>44290</v>
      </c>
      <c r="M4" s="6" t="s">
        <v>4</v>
      </c>
      <c r="N4" s="6" t="s">
        <v>5</v>
      </c>
      <c r="O4" s="21">
        <v>44291</v>
      </c>
      <c r="P4" s="6" t="s">
        <v>4</v>
      </c>
      <c r="Q4" s="6" t="s">
        <v>5</v>
      </c>
      <c r="R4" s="28" t="s">
        <v>6</v>
      </c>
    </row>
    <row r="5" ht="20" customHeight="1" spans="2:18">
      <c r="B5" s="10" t="s">
        <v>7</v>
      </c>
      <c r="C5" s="11"/>
      <c r="D5" s="12">
        <f>DATEDIF(D4,F4,"D")+1</f>
        <v>3</v>
      </c>
      <c r="E5" s="12"/>
      <c r="F5" s="13"/>
      <c r="H5" s="14" t="s">
        <v>8</v>
      </c>
      <c r="I5" s="22"/>
      <c r="J5" s="23" t="str">
        <f>INDEX(J8:J20,MATCH(H5,D8:D20,0))</f>
        <v>通班</v>
      </c>
      <c r="K5" s="24">
        <f>INDEX(K8:K20,MATCH(H5,D8:D20,0))</f>
        <v>1</v>
      </c>
      <c r="L5" s="22"/>
      <c r="M5" s="23" t="str">
        <f>INDEX(M8:M20,MATCH(H5,D8:D20,0))</f>
        <v>晚班</v>
      </c>
      <c r="N5" s="24">
        <f>INDEX(N8:N20,MATCH(H5,D8:D20,0))</f>
        <v>1</v>
      </c>
      <c r="O5" s="22"/>
      <c r="P5" s="23" t="str">
        <f>INDEX(P8:P20,MATCH(H5,D8:D20,0))</f>
        <v>早班</v>
      </c>
      <c r="Q5" s="24">
        <f>INDEX(Q8:Q20,MATCH(H5,D8:D20,0))</f>
        <v>1</v>
      </c>
      <c r="R5" s="29">
        <f>INDEX(R8:R20,MATCH(H5,D8:D20,0))</f>
        <v>0</v>
      </c>
    </row>
    <row r="6" ht="10" customHeight="1"/>
    <row r="7" s="1" customFormat="1" ht="30" customHeight="1" spans="2:18">
      <c r="B7" s="15" t="s">
        <v>9</v>
      </c>
      <c r="C7" s="16" t="s">
        <v>10</v>
      </c>
      <c r="D7" s="16" t="s">
        <v>11</v>
      </c>
      <c r="E7" s="16" t="s">
        <v>12</v>
      </c>
      <c r="F7" s="16" t="s">
        <v>13</v>
      </c>
      <c r="G7" s="16" t="s">
        <v>14</v>
      </c>
      <c r="H7" s="16" t="s">
        <v>15</v>
      </c>
      <c r="I7" s="25" t="s">
        <v>16</v>
      </c>
      <c r="J7" s="16" t="s">
        <v>4</v>
      </c>
      <c r="K7" s="16" t="s">
        <v>5</v>
      </c>
      <c r="L7" s="25" t="s">
        <v>16</v>
      </c>
      <c r="M7" s="16" t="s">
        <v>4</v>
      </c>
      <c r="N7" s="16" t="s">
        <v>5</v>
      </c>
      <c r="O7" s="25" t="s">
        <v>16</v>
      </c>
      <c r="P7" s="16" t="s">
        <v>4</v>
      </c>
      <c r="Q7" s="16" t="s">
        <v>5</v>
      </c>
      <c r="R7" s="30" t="s">
        <v>6</v>
      </c>
    </row>
    <row r="8" ht="20" customHeight="1" spans="2:18">
      <c r="B8" s="17">
        <v>1</v>
      </c>
      <c r="C8" s="18" t="s">
        <v>17</v>
      </c>
      <c r="D8" s="18" t="s">
        <v>18</v>
      </c>
      <c r="E8" s="18" t="s">
        <v>19</v>
      </c>
      <c r="F8" s="18" t="s">
        <v>20</v>
      </c>
      <c r="G8" s="18" t="s">
        <v>21</v>
      </c>
      <c r="H8" s="18">
        <v>131000234</v>
      </c>
      <c r="I8" s="26">
        <v>44289</v>
      </c>
      <c r="J8" s="18" t="s">
        <v>22</v>
      </c>
      <c r="K8" s="18">
        <f>IF(ISBLANK(J8),"",1)</f>
        <v>1</v>
      </c>
      <c r="L8" s="26">
        <v>44290</v>
      </c>
      <c r="M8" s="18" t="s">
        <v>22</v>
      </c>
      <c r="N8" s="18">
        <f>IF(ISBLANK(M8),"",1)</f>
        <v>1</v>
      </c>
      <c r="O8" s="26">
        <v>44291</v>
      </c>
      <c r="P8" s="18" t="s">
        <v>22</v>
      </c>
      <c r="Q8" s="18">
        <f>IF(ISBLANK(P8),"",1)</f>
        <v>1</v>
      </c>
      <c r="R8" s="31"/>
    </row>
    <row r="9" ht="20" customHeight="1" spans="2:18">
      <c r="B9" s="17">
        <v>2</v>
      </c>
      <c r="C9" s="18" t="s">
        <v>23</v>
      </c>
      <c r="D9" s="18" t="s">
        <v>24</v>
      </c>
      <c r="E9" s="18" t="s">
        <v>25</v>
      </c>
      <c r="F9" s="18" t="s">
        <v>20</v>
      </c>
      <c r="G9" s="18" t="s">
        <v>21</v>
      </c>
      <c r="H9" s="18">
        <v>131000235</v>
      </c>
      <c r="I9" s="26">
        <v>44289</v>
      </c>
      <c r="J9" s="18" t="s">
        <v>26</v>
      </c>
      <c r="K9" s="18">
        <f t="shared" ref="K9:K20" si="0">IF(ISBLANK(J9),"",1)</f>
        <v>1</v>
      </c>
      <c r="L9" s="26">
        <v>44290</v>
      </c>
      <c r="M9" s="18" t="s">
        <v>26</v>
      </c>
      <c r="N9" s="18">
        <f t="shared" ref="N9:N20" si="1">IF(ISBLANK(M9),"",1)</f>
        <v>1</v>
      </c>
      <c r="O9" s="26">
        <v>44291</v>
      </c>
      <c r="P9" s="18" t="s">
        <v>26</v>
      </c>
      <c r="Q9" s="18">
        <f t="shared" ref="Q9:Q20" si="2">IF(ISBLANK(P9),"",1)</f>
        <v>1</v>
      </c>
      <c r="R9" s="31"/>
    </row>
    <row r="10" ht="20" customHeight="1" spans="2:18">
      <c r="B10" s="17">
        <v>3</v>
      </c>
      <c r="C10" s="18" t="s">
        <v>27</v>
      </c>
      <c r="D10" s="18" t="s">
        <v>28</v>
      </c>
      <c r="E10" s="18" t="s">
        <v>25</v>
      </c>
      <c r="F10" s="18" t="s">
        <v>20</v>
      </c>
      <c r="G10" s="18" t="s">
        <v>21</v>
      </c>
      <c r="H10" s="18">
        <v>131000236</v>
      </c>
      <c r="I10" s="26">
        <v>44289</v>
      </c>
      <c r="J10" s="18" t="s">
        <v>22</v>
      </c>
      <c r="K10" s="18">
        <f t="shared" si="0"/>
        <v>1</v>
      </c>
      <c r="L10" s="26">
        <v>44290</v>
      </c>
      <c r="M10" s="18" t="s">
        <v>29</v>
      </c>
      <c r="N10" s="18">
        <f t="shared" si="1"/>
        <v>1</v>
      </c>
      <c r="O10" s="26">
        <v>44291</v>
      </c>
      <c r="P10" s="18" t="s">
        <v>26</v>
      </c>
      <c r="Q10" s="18">
        <f t="shared" si="2"/>
        <v>1</v>
      </c>
      <c r="R10" s="31"/>
    </row>
    <row r="11" ht="20" customHeight="1" spans="2:18">
      <c r="B11" s="17">
        <v>4</v>
      </c>
      <c r="C11" s="18" t="s">
        <v>30</v>
      </c>
      <c r="D11" s="18" t="s">
        <v>8</v>
      </c>
      <c r="E11" s="18" t="s">
        <v>19</v>
      </c>
      <c r="F11" s="18" t="s">
        <v>20</v>
      </c>
      <c r="G11" s="18" t="s">
        <v>21</v>
      </c>
      <c r="H11" s="18">
        <v>131000237</v>
      </c>
      <c r="I11" s="26">
        <v>44289</v>
      </c>
      <c r="J11" s="18" t="s">
        <v>29</v>
      </c>
      <c r="K11" s="18">
        <f t="shared" si="0"/>
        <v>1</v>
      </c>
      <c r="L11" s="26">
        <v>44290</v>
      </c>
      <c r="M11" s="18" t="s">
        <v>26</v>
      </c>
      <c r="N11" s="18">
        <f t="shared" si="1"/>
        <v>1</v>
      </c>
      <c r="O11" s="26">
        <v>44291</v>
      </c>
      <c r="P11" s="18" t="s">
        <v>22</v>
      </c>
      <c r="Q11" s="18">
        <f t="shared" si="2"/>
        <v>1</v>
      </c>
      <c r="R11" s="31"/>
    </row>
    <row r="12" ht="20" customHeight="1" spans="2:18">
      <c r="B12" s="17">
        <v>5</v>
      </c>
      <c r="C12" s="18" t="s">
        <v>31</v>
      </c>
      <c r="D12" s="18" t="s">
        <v>32</v>
      </c>
      <c r="E12" s="18" t="s">
        <v>19</v>
      </c>
      <c r="F12" s="18" t="s">
        <v>20</v>
      </c>
      <c r="G12" s="18" t="s">
        <v>21</v>
      </c>
      <c r="H12" s="18">
        <v>131000238</v>
      </c>
      <c r="I12" s="26">
        <v>44289</v>
      </c>
      <c r="J12" s="18" t="s">
        <v>26</v>
      </c>
      <c r="K12" s="18">
        <f t="shared" si="0"/>
        <v>1</v>
      </c>
      <c r="L12" s="26">
        <v>44290</v>
      </c>
      <c r="M12" s="18" t="s">
        <v>22</v>
      </c>
      <c r="N12" s="18">
        <f t="shared" si="1"/>
        <v>1</v>
      </c>
      <c r="O12" s="26">
        <v>44291</v>
      </c>
      <c r="P12" s="18" t="s">
        <v>22</v>
      </c>
      <c r="Q12" s="18">
        <f t="shared" si="2"/>
        <v>1</v>
      </c>
      <c r="R12" s="31"/>
    </row>
    <row r="13" ht="20" customHeight="1" spans="2:18">
      <c r="B13" s="17">
        <v>6</v>
      </c>
      <c r="C13" s="18" t="s">
        <v>33</v>
      </c>
      <c r="D13" s="18" t="s">
        <v>34</v>
      </c>
      <c r="E13" s="18" t="s">
        <v>25</v>
      </c>
      <c r="F13" s="18" t="s">
        <v>35</v>
      </c>
      <c r="G13" s="18" t="s">
        <v>36</v>
      </c>
      <c r="H13" s="18">
        <v>131000239</v>
      </c>
      <c r="I13" s="26">
        <v>44289</v>
      </c>
      <c r="J13" s="18" t="s">
        <v>22</v>
      </c>
      <c r="K13" s="18">
        <f t="shared" si="0"/>
        <v>1</v>
      </c>
      <c r="L13" s="26">
        <v>44290</v>
      </c>
      <c r="M13" s="18" t="s">
        <v>22</v>
      </c>
      <c r="N13" s="18">
        <f t="shared" si="1"/>
        <v>1</v>
      </c>
      <c r="O13" s="26">
        <v>44291</v>
      </c>
      <c r="P13" s="18" t="s">
        <v>22</v>
      </c>
      <c r="Q13" s="18">
        <f t="shared" si="2"/>
        <v>1</v>
      </c>
      <c r="R13" s="31"/>
    </row>
    <row r="14" ht="20" customHeight="1" spans="2:18">
      <c r="B14" s="17">
        <v>7</v>
      </c>
      <c r="C14" s="18" t="s">
        <v>37</v>
      </c>
      <c r="D14" s="18" t="s">
        <v>38</v>
      </c>
      <c r="E14" s="18" t="s">
        <v>19</v>
      </c>
      <c r="F14" s="18" t="s">
        <v>35</v>
      </c>
      <c r="G14" s="18" t="s">
        <v>36</v>
      </c>
      <c r="H14" s="18">
        <v>131000240</v>
      </c>
      <c r="I14" s="26">
        <v>44289</v>
      </c>
      <c r="J14" s="18" t="s">
        <v>22</v>
      </c>
      <c r="K14" s="18">
        <f t="shared" si="0"/>
        <v>1</v>
      </c>
      <c r="L14" s="26">
        <v>44290</v>
      </c>
      <c r="M14" s="18" t="s">
        <v>22</v>
      </c>
      <c r="N14" s="18">
        <f t="shared" si="1"/>
        <v>1</v>
      </c>
      <c r="O14" s="26">
        <v>44291</v>
      </c>
      <c r="P14" s="18" t="s">
        <v>22</v>
      </c>
      <c r="Q14" s="18">
        <f t="shared" si="2"/>
        <v>1</v>
      </c>
      <c r="R14" s="31"/>
    </row>
    <row r="15" ht="20" customHeight="1" spans="2:18">
      <c r="B15" s="17">
        <v>8</v>
      </c>
      <c r="C15" s="18" t="s">
        <v>39</v>
      </c>
      <c r="D15" s="18" t="s">
        <v>40</v>
      </c>
      <c r="E15" s="18" t="s">
        <v>25</v>
      </c>
      <c r="F15" s="18" t="s">
        <v>35</v>
      </c>
      <c r="G15" s="18" t="s">
        <v>36</v>
      </c>
      <c r="H15" s="18">
        <v>131000241</v>
      </c>
      <c r="I15" s="26">
        <v>44289</v>
      </c>
      <c r="J15" s="18" t="s">
        <v>26</v>
      </c>
      <c r="K15" s="18">
        <f t="shared" si="0"/>
        <v>1</v>
      </c>
      <c r="L15" s="26">
        <v>44290</v>
      </c>
      <c r="M15" s="18" t="s">
        <v>26</v>
      </c>
      <c r="N15" s="18">
        <f t="shared" si="1"/>
        <v>1</v>
      </c>
      <c r="O15" s="26">
        <v>44291</v>
      </c>
      <c r="P15" s="18"/>
      <c r="Q15" s="18" t="str">
        <f t="shared" si="2"/>
        <v/>
      </c>
      <c r="R15" s="31"/>
    </row>
    <row r="16" ht="20" customHeight="1" spans="2:18">
      <c r="B16" s="17">
        <v>9</v>
      </c>
      <c r="C16" s="18" t="s">
        <v>41</v>
      </c>
      <c r="D16" s="18" t="s">
        <v>42</v>
      </c>
      <c r="E16" s="18" t="s">
        <v>19</v>
      </c>
      <c r="F16" s="18" t="s">
        <v>35</v>
      </c>
      <c r="G16" s="18" t="s">
        <v>36</v>
      </c>
      <c r="H16" s="18">
        <v>131000242</v>
      </c>
      <c r="I16" s="26">
        <v>44289</v>
      </c>
      <c r="J16" s="18" t="s">
        <v>26</v>
      </c>
      <c r="K16" s="18">
        <f t="shared" si="0"/>
        <v>1</v>
      </c>
      <c r="L16" s="26">
        <v>44290</v>
      </c>
      <c r="M16" s="18" t="s">
        <v>26</v>
      </c>
      <c r="N16" s="18">
        <f t="shared" si="1"/>
        <v>1</v>
      </c>
      <c r="O16" s="26">
        <v>44291</v>
      </c>
      <c r="P16" s="18" t="s">
        <v>26</v>
      </c>
      <c r="Q16" s="18">
        <f t="shared" si="2"/>
        <v>1</v>
      </c>
      <c r="R16" s="31"/>
    </row>
    <row r="17" ht="20" customHeight="1" spans="2:18">
      <c r="B17" s="17">
        <v>10</v>
      </c>
      <c r="C17" s="18" t="s">
        <v>43</v>
      </c>
      <c r="D17" s="18" t="s">
        <v>44</v>
      </c>
      <c r="E17" s="18" t="s">
        <v>19</v>
      </c>
      <c r="F17" s="18" t="s">
        <v>35</v>
      </c>
      <c r="G17" s="18" t="s">
        <v>36</v>
      </c>
      <c r="H17" s="18">
        <v>131000243</v>
      </c>
      <c r="I17" s="26">
        <v>44289</v>
      </c>
      <c r="J17" s="18" t="s">
        <v>29</v>
      </c>
      <c r="K17" s="18">
        <f t="shared" si="0"/>
        <v>1</v>
      </c>
      <c r="L17" s="26">
        <v>44290</v>
      </c>
      <c r="M17" s="18" t="s">
        <v>26</v>
      </c>
      <c r="N17" s="18">
        <f t="shared" si="1"/>
        <v>1</v>
      </c>
      <c r="O17" s="26">
        <v>44291</v>
      </c>
      <c r="P17" s="18" t="s">
        <v>22</v>
      </c>
      <c r="Q17" s="18">
        <f t="shared" si="2"/>
        <v>1</v>
      </c>
      <c r="R17" s="31"/>
    </row>
    <row r="18" ht="20" customHeight="1" spans="2:18">
      <c r="B18" s="17">
        <v>11</v>
      </c>
      <c r="C18" s="18"/>
      <c r="D18" s="18"/>
      <c r="E18" s="18"/>
      <c r="F18" s="18"/>
      <c r="G18" s="18"/>
      <c r="H18" s="18"/>
      <c r="I18" s="26"/>
      <c r="J18" s="18"/>
      <c r="K18" s="18" t="str">
        <f t="shared" si="0"/>
        <v/>
      </c>
      <c r="L18" s="26"/>
      <c r="M18" s="18"/>
      <c r="N18" s="18" t="str">
        <f t="shared" si="1"/>
        <v/>
      </c>
      <c r="O18" s="26"/>
      <c r="P18" s="18"/>
      <c r="Q18" s="18" t="str">
        <f t="shared" si="2"/>
        <v/>
      </c>
      <c r="R18" s="31"/>
    </row>
    <row r="19" ht="20" customHeight="1" spans="2:18">
      <c r="B19" s="17">
        <v>12</v>
      </c>
      <c r="C19" s="18"/>
      <c r="D19" s="18"/>
      <c r="E19" s="18"/>
      <c r="F19" s="18"/>
      <c r="G19" s="18"/>
      <c r="H19" s="18"/>
      <c r="I19" s="26"/>
      <c r="J19" s="18"/>
      <c r="K19" s="18" t="str">
        <f t="shared" si="0"/>
        <v/>
      </c>
      <c r="L19" s="26"/>
      <c r="M19" s="18"/>
      <c r="N19" s="18" t="str">
        <f t="shared" si="1"/>
        <v/>
      </c>
      <c r="O19" s="26"/>
      <c r="P19" s="18"/>
      <c r="Q19" s="18" t="str">
        <f t="shared" si="2"/>
        <v/>
      </c>
      <c r="R19" s="31"/>
    </row>
    <row r="20" ht="20" customHeight="1" spans="2:18">
      <c r="B20" s="19">
        <v>13</v>
      </c>
      <c r="C20" s="20"/>
      <c r="D20" s="20"/>
      <c r="E20" s="20"/>
      <c r="F20" s="20"/>
      <c r="G20" s="20"/>
      <c r="H20" s="20"/>
      <c r="I20" s="27"/>
      <c r="J20" s="20"/>
      <c r="K20" s="20" t="str">
        <f t="shared" si="0"/>
        <v/>
      </c>
      <c r="L20" s="27"/>
      <c r="M20" s="20"/>
      <c r="N20" s="20" t="str">
        <f t="shared" si="1"/>
        <v/>
      </c>
      <c r="O20" s="27"/>
      <c r="P20" s="20"/>
      <c r="Q20" s="20" t="str">
        <f t="shared" si="2"/>
        <v/>
      </c>
      <c r="R20" s="32"/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</sheetData>
  <mergeCells count="7">
    <mergeCell ref="B2:R2"/>
    <mergeCell ref="B4:C4"/>
    <mergeCell ref="B5:C5"/>
    <mergeCell ref="D5:F5"/>
    <mergeCell ref="I4:I5"/>
    <mergeCell ref="L4:L5"/>
    <mergeCell ref="O4:O5"/>
  </mergeCells>
  <conditionalFormatting sqref="M4">
    <cfRule type="cellIs" dxfId="0" priority="154" operator="equal">
      <formula>"早班"</formula>
    </cfRule>
    <cfRule type="cellIs" dxfId="1" priority="153" operator="equal">
      <formula>"晚班"</formula>
    </cfRule>
    <cfRule type="cellIs" dxfId="2" priority="152" operator="equal">
      <formula>"通班"</formula>
    </cfRule>
  </conditionalFormatting>
  <conditionalFormatting sqref="P4">
    <cfRule type="cellIs" dxfId="0" priority="151" operator="equal">
      <formula>"早班"</formula>
    </cfRule>
    <cfRule type="cellIs" dxfId="1" priority="150" operator="equal">
      <formula>"晚班"</formula>
    </cfRule>
    <cfRule type="cellIs" dxfId="2" priority="149" operator="equal">
      <formula>"通班"</formula>
    </cfRule>
  </conditionalFormatting>
  <conditionalFormatting sqref="D8:Q8">
    <cfRule type="expression" dxfId="3" priority="146">
      <formula>$D8=$H$5</formula>
    </cfRule>
  </conditionalFormatting>
  <conditionalFormatting sqref="J9">
    <cfRule type="cellIs" dxfId="0" priority="109" operator="equal">
      <formula>"早班"</formula>
    </cfRule>
    <cfRule type="cellIs" dxfId="1" priority="97" operator="equal">
      <formula>"晚班"</formula>
    </cfRule>
    <cfRule type="cellIs" dxfId="2" priority="85" operator="equal">
      <formula>"通班"</formula>
    </cfRule>
  </conditionalFormatting>
  <conditionalFormatting sqref="M9">
    <cfRule type="cellIs" dxfId="2" priority="73" operator="equal">
      <formula>"通班"</formula>
    </cfRule>
    <cfRule type="cellIs" dxfId="0" priority="49" operator="equal">
      <formula>"早班"</formula>
    </cfRule>
    <cfRule type="cellIs" dxfId="4" priority="37" operator="equal">
      <formula>"晚班"</formula>
    </cfRule>
  </conditionalFormatting>
  <conditionalFormatting sqref="P9">
    <cfRule type="cellIs" dxfId="2" priority="61" operator="equal">
      <formula>"通班"</formula>
    </cfRule>
    <cfRule type="cellIs" dxfId="0" priority="25" operator="equal">
      <formula>"早班"</formula>
    </cfRule>
    <cfRule type="cellIs" dxfId="4" priority="13" operator="equal">
      <formula>"晚班"</formula>
    </cfRule>
  </conditionalFormatting>
  <conditionalFormatting sqref="J10">
    <cfRule type="cellIs" dxfId="0" priority="108" operator="equal">
      <formula>"早班"</formula>
    </cfRule>
    <cfRule type="cellIs" dxfId="1" priority="96" operator="equal">
      <formula>"晚班"</formula>
    </cfRule>
    <cfRule type="cellIs" dxfId="2" priority="84" operator="equal">
      <formula>"通班"</formula>
    </cfRule>
  </conditionalFormatting>
  <conditionalFormatting sqref="M10">
    <cfRule type="cellIs" dxfId="2" priority="72" operator="equal">
      <formula>"通班"</formula>
    </cfRule>
    <cfRule type="cellIs" dxfId="0" priority="48" operator="equal">
      <formula>"早班"</formula>
    </cfRule>
    <cfRule type="cellIs" dxfId="4" priority="36" operator="equal">
      <formula>"晚班"</formula>
    </cfRule>
  </conditionalFormatting>
  <conditionalFormatting sqref="P10">
    <cfRule type="cellIs" dxfId="2" priority="60" operator="equal">
      <formula>"通班"</formula>
    </cfRule>
    <cfRule type="cellIs" dxfId="0" priority="24" operator="equal">
      <formula>"早班"</formula>
    </cfRule>
    <cfRule type="cellIs" dxfId="4" priority="12" operator="equal">
      <formula>"晚班"</formula>
    </cfRule>
  </conditionalFormatting>
  <conditionalFormatting sqref="J11">
    <cfRule type="cellIs" dxfId="0" priority="107" operator="equal">
      <formula>"早班"</formula>
    </cfRule>
    <cfRule type="cellIs" dxfId="1" priority="95" operator="equal">
      <formula>"晚班"</formula>
    </cfRule>
    <cfRule type="cellIs" dxfId="2" priority="83" operator="equal">
      <formula>"通班"</formula>
    </cfRule>
  </conditionalFormatting>
  <conditionalFormatting sqref="M11">
    <cfRule type="cellIs" dxfId="2" priority="71" operator="equal">
      <formula>"通班"</formula>
    </cfRule>
    <cfRule type="cellIs" dxfId="0" priority="47" operator="equal">
      <formula>"早班"</formula>
    </cfRule>
    <cfRule type="cellIs" dxfId="4" priority="35" operator="equal">
      <formula>"晚班"</formula>
    </cfRule>
  </conditionalFormatting>
  <conditionalFormatting sqref="P11">
    <cfRule type="cellIs" dxfId="2" priority="59" operator="equal">
      <formula>"通班"</formula>
    </cfRule>
    <cfRule type="cellIs" dxfId="0" priority="23" operator="equal">
      <formula>"早班"</formula>
    </cfRule>
    <cfRule type="cellIs" dxfId="4" priority="11" operator="equal">
      <formula>"晚班"</formula>
    </cfRule>
  </conditionalFormatting>
  <conditionalFormatting sqref="J12">
    <cfRule type="cellIs" dxfId="0" priority="106" operator="equal">
      <formula>"早班"</formula>
    </cfRule>
    <cfRule type="cellIs" dxfId="1" priority="94" operator="equal">
      <formula>"晚班"</formula>
    </cfRule>
    <cfRule type="cellIs" dxfId="2" priority="82" operator="equal">
      <formula>"通班"</formula>
    </cfRule>
  </conditionalFormatting>
  <conditionalFormatting sqref="M12">
    <cfRule type="cellIs" dxfId="2" priority="70" operator="equal">
      <formula>"通班"</formula>
    </cfRule>
    <cfRule type="cellIs" dxfId="0" priority="46" operator="equal">
      <formula>"早班"</formula>
    </cfRule>
    <cfRule type="cellIs" dxfId="4" priority="34" operator="equal">
      <formula>"晚班"</formula>
    </cfRule>
  </conditionalFormatting>
  <conditionalFormatting sqref="P12">
    <cfRule type="cellIs" dxfId="2" priority="58" operator="equal">
      <formula>"通班"</formula>
    </cfRule>
    <cfRule type="cellIs" dxfId="0" priority="22" operator="equal">
      <formula>"早班"</formula>
    </cfRule>
    <cfRule type="cellIs" dxfId="4" priority="10" operator="equal">
      <formula>"晚班"</formula>
    </cfRule>
  </conditionalFormatting>
  <conditionalFormatting sqref="J13">
    <cfRule type="cellIs" dxfId="0" priority="105" operator="equal">
      <formula>"早班"</formula>
    </cfRule>
    <cfRule type="cellIs" dxfId="1" priority="93" operator="equal">
      <formula>"晚班"</formula>
    </cfRule>
    <cfRule type="cellIs" dxfId="2" priority="81" operator="equal">
      <formula>"通班"</formula>
    </cfRule>
  </conditionalFormatting>
  <conditionalFormatting sqref="M13">
    <cfRule type="cellIs" dxfId="2" priority="69" operator="equal">
      <formula>"通班"</formula>
    </cfRule>
    <cfRule type="cellIs" dxfId="0" priority="45" operator="equal">
      <formula>"早班"</formula>
    </cfRule>
    <cfRule type="cellIs" dxfId="4" priority="33" operator="equal">
      <formula>"晚班"</formula>
    </cfRule>
  </conditionalFormatting>
  <conditionalFormatting sqref="P13">
    <cfRule type="cellIs" dxfId="2" priority="57" operator="equal">
      <formula>"通班"</formula>
    </cfRule>
    <cfRule type="cellIs" dxfId="0" priority="21" operator="equal">
      <formula>"早班"</formula>
    </cfRule>
    <cfRule type="cellIs" dxfId="4" priority="9" operator="equal">
      <formula>"晚班"</formula>
    </cfRule>
  </conditionalFormatting>
  <conditionalFormatting sqref="J14">
    <cfRule type="cellIs" dxfId="0" priority="104" operator="equal">
      <formula>"早班"</formula>
    </cfRule>
    <cfRule type="cellIs" dxfId="1" priority="92" operator="equal">
      <formula>"晚班"</formula>
    </cfRule>
    <cfRule type="cellIs" dxfId="2" priority="80" operator="equal">
      <formula>"通班"</formula>
    </cfRule>
  </conditionalFormatting>
  <conditionalFormatting sqref="M14">
    <cfRule type="cellIs" dxfId="2" priority="68" operator="equal">
      <formula>"通班"</formula>
    </cfRule>
    <cfRule type="cellIs" dxfId="0" priority="44" operator="equal">
      <formula>"早班"</formula>
    </cfRule>
    <cfRule type="cellIs" dxfId="4" priority="32" operator="equal">
      <formula>"晚班"</formula>
    </cfRule>
  </conditionalFormatting>
  <conditionalFormatting sqref="P14">
    <cfRule type="cellIs" dxfId="2" priority="56" operator="equal">
      <formula>"通班"</formula>
    </cfRule>
    <cfRule type="cellIs" dxfId="0" priority="20" operator="equal">
      <formula>"早班"</formula>
    </cfRule>
    <cfRule type="cellIs" dxfId="4" priority="8" operator="equal">
      <formula>"晚班"</formula>
    </cfRule>
  </conditionalFormatting>
  <conditionalFormatting sqref="J15">
    <cfRule type="cellIs" dxfId="0" priority="103" operator="equal">
      <formula>"早班"</formula>
    </cfRule>
    <cfRule type="cellIs" dxfId="1" priority="91" operator="equal">
      <formula>"晚班"</formula>
    </cfRule>
    <cfRule type="cellIs" dxfId="2" priority="79" operator="equal">
      <formula>"通班"</formula>
    </cfRule>
  </conditionalFormatting>
  <conditionalFormatting sqref="M15">
    <cfRule type="cellIs" dxfId="2" priority="67" operator="equal">
      <formula>"通班"</formula>
    </cfRule>
    <cfRule type="cellIs" dxfId="0" priority="43" operator="equal">
      <formula>"早班"</formula>
    </cfRule>
    <cfRule type="cellIs" dxfId="4" priority="31" operator="equal">
      <formula>"晚班"</formula>
    </cfRule>
  </conditionalFormatting>
  <conditionalFormatting sqref="P15">
    <cfRule type="cellIs" dxfId="2" priority="55" operator="equal">
      <formula>"通班"</formula>
    </cfRule>
    <cfRule type="cellIs" dxfId="0" priority="19" operator="equal">
      <formula>"早班"</formula>
    </cfRule>
    <cfRule type="cellIs" dxfId="4" priority="7" operator="equal">
      <formula>"晚班"</formula>
    </cfRule>
  </conditionalFormatting>
  <conditionalFormatting sqref="J16">
    <cfRule type="cellIs" dxfId="0" priority="102" operator="equal">
      <formula>"早班"</formula>
    </cfRule>
    <cfRule type="cellIs" dxfId="1" priority="90" operator="equal">
      <formula>"晚班"</formula>
    </cfRule>
    <cfRule type="cellIs" dxfId="2" priority="78" operator="equal">
      <formula>"通班"</formula>
    </cfRule>
  </conditionalFormatting>
  <conditionalFormatting sqref="M16">
    <cfRule type="cellIs" dxfId="2" priority="66" operator="equal">
      <formula>"通班"</formula>
    </cfRule>
    <cfRule type="cellIs" dxfId="0" priority="42" operator="equal">
      <formula>"早班"</formula>
    </cfRule>
    <cfRule type="cellIs" dxfId="4" priority="30" operator="equal">
      <formula>"晚班"</formula>
    </cfRule>
  </conditionalFormatting>
  <conditionalFormatting sqref="P16">
    <cfRule type="cellIs" dxfId="2" priority="54" operator="equal">
      <formula>"通班"</formula>
    </cfRule>
    <cfRule type="cellIs" dxfId="0" priority="18" operator="equal">
      <formula>"早班"</formula>
    </cfRule>
    <cfRule type="cellIs" dxfId="4" priority="6" operator="equal">
      <formula>"晚班"</formula>
    </cfRule>
  </conditionalFormatting>
  <conditionalFormatting sqref="J17">
    <cfRule type="cellIs" dxfId="0" priority="101" operator="equal">
      <formula>"早班"</formula>
    </cfRule>
    <cfRule type="cellIs" dxfId="1" priority="89" operator="equal">
      <formula>"晚班"</formula>
    </cfRule>
    <cfRule type="cellIs" dxfId="2" priority="77" operator="equal">
      <formula>"通班"</formula>
    </cfRule>
  </conditionalFormatting>
  <conditionalFormatting sqref="M17">
    <cfRule type="cellIs" dxfId="2" priority="65" operator="equal">
      <formula>"通班"</formula>
    </cfRule>
    <cfRule type="cellIs" dxfId="0" priority="41" operator="equal">
      <formula>"早班"</formula>
    </cfRule>
    <cfRule type="cellIs" dxfId="4" priority="29" operator="equal">
      <formula>"晚班"</formula>
    </cfRule>
  </conditionalFormatting>
  <conditionalFormatting sqref="P17">
    <cfRule type="cellIs" dxfId="2" priority="53" operator="equal">
      <formula>"通班"</formula>
    </cfRule>
    <cfRule type="cellIs" dxfId="0" priority="17" operator="equal">
      <formula>"早班"</formula>
    </cfRule>
    <cfRule type="cellIs" dxfId="4" priority="5" operator="equal">
      <formula>"晚班"</formula>
    </cfRule>
  </conditionalFormatting>
  <conditionalFormatting sqref="J18">
    <cfRule type="cellIs" dxfId="0" priority="100" operator="equal">
      <formula>"早班"</formula>
    </cfRule>
    <cfRule type="cellIs" dxfId="1" priority="88" operator="equal">
      <formula>"晚班"</formula>
    </cfRule>
    <cfRule type="cellIs" dxfId="2" priority="76" operator="equal">
      <formula>"通班"</formula>
    </cfRule>
  </conditionalFormatting>
  <conditionalFormatting sqref="M18">
    <cfRule type="cellIs" dxfId="2" priority="64" operator="equal">
      <formula>"通班"</formula>
    </cfRule>
    <cfRule type="cellIs" dxfId="0" priority="40" operator="equal">
      <formula>"早班"</formula>
    </cfRule>
    <cfRule type="cellIs" dxfId="4" priority="28" operator="equal">
      <formula>"晚班"</formula>
    </cfRule>
  </conditionalFormatting>
  <conditionalFormatting sqref="P18">
    <cfRule type="cellIs" dxfId="2" priority="52" operator="equal">
      <formula>"通班"</formula>
    </cfRule>
    <cfRule type="cellIs" dxfId="0" priority="16" operator="equal">
      <formula>"早班"</formula>
    </cfRule>
    <cfRule type="cellIs" dxfId="4" priority="4" operator="equal">
      <formula>"晚班"</formula>
    </cfRule>
  </conditionalFormatting>
  <conditionalFormatting sqref="J19">
    <cfRule type="cellIs" dxfId="0" priority="99" operator="equal">
      <formula>"早班"</formula>
    </cfRule>
    <cfRule type="cellIs" dxfId="1" priority="87" operator="equal">
      <formula>"晚班"</formula>
    </cfRule>
    <cfRule type="cellIs" dxfId="2" priority="75" operator="equal">
      <formula>"通班"</formula>
    </cfRule>
  </conditionalFormatting>
  <conditionalFormatting sqref="M19">
    <cfRule type="cellIs" dxfId="2" priority="63" operator="equal">
      <formula>"通班"</formula>
    </cfRule>
    <cfRule type="cellIs" dxfId="0" priority="39" operator="equal">
      <formula>"早班"</formula>
    </cfRule>
    <cfRule type="cellIs" dxfId="4" priority="27" operator="equal">
      <formula>"晚班"</formula>
    </cfRule>
  </conditionalFormatting>
  <conditionalFormatting sqref="P19">
    <cfRule type="cellIs" dxfId="2" priority="51" operator="equal">
      <formula>"通班"</formula>
    </cfRule>
    <cfRule type="cellIs" dxfId="0" priority="15" operator="equal">
      <formula>"早班"</formula>
    </cfRule>
    <cfRule type="cellIs" dxfId="4" priority="3" operator="equal">
      <formula>"晚班"</formula>
    </cfRule>
  </conditionalFormatting>
  <conditionalFormatting sqref="J20">
    <cfRule type="cellIs" dxfId="0" priority="98" operator="equal">
      <formula>"早班"</formula>
    </cfRule>
    <cfRule type="cellIs" dxfId="1" priority="86" operator="equal">
      <formula>"晚班"</formula>
    </cfRule>
    <cfRule type="cellIs" dxfId="2" priority="74" operator="equal">
      <formula>"通班"</formula>
    </cfRule>
  </conditionalFormatting>
  <conditionalFormatting sqref="M20">
    <cfRule type="cellIs" dxfId="2" priority="62" operator="equal">
      <formula>"通班"</formula>
    </cfRule>
    <cfRule type="cellIs" dxfId="0" priority="38" operator="equal">
      <formula>"早班"</formula>
    </cfRule>
    <cfRule type="cellIs" dxfId="4" priority="26" operator="equal">
      <formula>"晚班"</formula>
    </cfRule>
  </conditionalFormatting>
  <conditionalFormatting sqref="P20">
    <cfRule type="cellIs" dxfId="2" priority="50" operator="equal">
      <formula>"通班"</formula>
    </cfRule>
    <cfRule type="cellIs" dxfId="0" priority="14" operator="equal">
      <formula>"早班"</formula>
    </cfRule>
    <cfRule type="cellIs" dxfId="4" priority="2" operator="equal">
      <formula>"晚班"</formula>
    </cfRule>
  </conditionalFormatting>
  <conditionalFormatting sqref="J1:J8 J21:J1048576">
    <cfRule type="cellIs" dxfId="2" priority="169" operator="equal">
      <formula>"通班"</formula>
    </cfRule>
    <cfRule type="cellIs" dxfId="1" priority="170" operator="equal">
      <formula>"晚班"</formula>
    </cfRule>
    <cfRule type="cellIs" dxfId="0" priority="171" operator="equal">
      <formula>"早班"</formula>
    </cfRule>
  </conditionalFormatting>
  <conditionalFormatting sqref="M1:M3 M5:M8 M21:M1048576">
    <cfRule type="cellIs" dxfId="4" priority="165" operator="equal">
      <formula>"晚班"</formula>
    </cfRule>
    <cfRule type="cellIs" dxfId="0" priority="166" operator="equal">
      <formula>"早班"</formula>
    </cfRule>
    <cfRule type="cellIs" dxfId="2" priority="168" operator="equal">
      <formula>"通班"</formula>
    </cfRule>
  </conditionalFormatting>
  <conditionalFormatting sqref="P1:P3 P5:P8 P21:P1048576">
    <cfRule type="cellIs" dxfId="4" priority="163" operator="equal">
      <formula>"晚班"</formula>
    </cfRule>
    <cfRule type="cellIs" dxfId="0" priority="164" operator="equal">
      <formula>"早班"</formula>
    </cfRule>
    <cfRule type="cellIs" dxfId="2" priority="167" operator="equal">
      <formula>"通班"</formula>
    </cfRule>
  </conditionalFormatting>
  <conditionalFormatting sqref="D9:Q20">
    <cfRule type="expression" dxfId="3" priority="1">
      <formula>$D9=$H$5</formula>
    </cfRule>
  </conditionalFormatting>
  <dataValidations count="2">
    <dataValidation type="list" allowBlank="1" showInputMessage="1" showErrorMessage="1" sqref="E10 E13 E14 E15 E8:E9 E11:E12 E16:E20">
      <formula1>"男,女"</formula1>
    </dataValidation>
    <dataValidation type="list" allowBlank="1" showInputMessage="1" showErrorMessage="1" sqref="J8:J20 M8:M20 P8:P20">
      <formula1>"早班,晚班,通班"</formula1>
    </dataValidation>
  </dataValidations>
  <pageMargins left="0.7" right="0.7" top="0.75" bottom="0.75" header="0.3" footer="0.3"/>
  <pageSetup paperSize="9" scale="89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8" id="{94f61f67-87d4-4a1a-bb4e-e96466b5d7e3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N4</xm:sqref>
        </x14:conditionalFormatting>
        <x14:conditionalFormatting xmlns:xm="http://schemas.microsoft.com/office/excel/2006/main">
          <x14:cfRule type="iconSet" priority="147" id="{91e9bcf6-be29-4903-baa0-f4f133c0efc5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Q4</xm:sqref>
        </x14:conditionalFormatting>
        <x14:conditionalFormatting xmlns:xm="http://schemas.microsoft.com/office/excel/2006/main">
          <x14:cfRule type="iconSet" priority="145" id="{a77ea65e-5ca8-4774-8f58-f4c09306fb3f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K9</xm:sqref>
        </x14:conditionalFormatting>
        <x14:conditionalFormatting xmlns:xm="http://schemas.microsoft.com/office/excel/2006/main">
          <x14:cfRule type="iconSet" priority="133" id="{e4c99923-08cc-4292-a261-1c9b2ea5e248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N9</xm:sqref>
        </x14:conditionalFormatting>
        <x14:conditionalFormatting xmlns:xm="http://schemas.microsoft.com/office/excel/2006/main">
          <x14:cfRule type="iconSet" priority="121" id="{6eea6802-afd3-488c-8dea-b1e5f586d779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Q9</xm:sqref>
        </x14:conditionalFormatting>
        <x14:conditionalFormatting xmlns:xm="http://schemas.microsoft.com/office/excel/2006/main">
          <x14:cfRule type="iconSet" priority="144" id="{294638ba-1610-4023-9768-dab3ccac7531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K10</xm:sqref>
        </x14:conditionalFormatting>
        <x14:conditionalFormatting xmlns:xm="http://schemas.microsoft.com/office/excel/2006/main">
          <x14:cfRule type="iconSet" priority="132" id="{bb257e28-3e8c-44be-84b6-56d8f493b0e1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N10</xm:sqref>
        </x14:conditionalFormatting>
        <x14:conditionalFormatting xmlns:xm="http://schemas.microsoft.com/office/excel/2006/main">
          <x14:cfRule type="iconSet" priority="120" id="{45cf7e68-d45f-4ffb-b833-0ff4a5142a94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Q10</xm:sqref>
        </x14:conditionalFormatting>
        <x14:conditionalFormatting xmlns:xm="http://schemas.microsoft.com/office/excel/2006/main">
          <x14:cfRule type="iconSet" priority="143" id="{ae1e10ee-19f2-431e-9725-28abe77d7bc8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K11</xm:sqref>
        </x14:conditionalFormatting>
        <x14:conditionalFormatting xmlns:xm="http://schemas.microsoft.com/office/excel/2006/main">
          <x14:cfRule type="iconSet" priority="131" id="{f26cb157-a13e-44c0-9f20-e12546feb7e2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N11</xm:sqref>
        </x14:conditionalFormatting>
        <x14:conditionalFormatting xmlns:xm="http://schemas.microsoft.com/office/excel/2006/main">
          <x14:cfRule type="iconSet" priority="119" id="{e26829f7-7a5a-4ffe-b1c6-13c4a00a59ee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Q11</xm:sqref>
        </x14:conditionalFormatting>
        <x14:conditionalFormatting xmlns:xm="http://schemas.microsoft.com/office/excel/2006/main">
          <x14:cfRule type="iconSet" priority="142" id="{237064f8-4c2f-4ebe-8a3d-1b4d2704b145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K12</xm:sqref>
        </x14:conditionalFormatting>
        <x14:conditionalFormatting xmlns:xm="http://schemas.microsoft.com/office/excel/2006/main">
          <x14:cfRule type="iconSet" priority="130" id="{5ab3750b-661c-4997-a7fb-fb6e6b7a87d6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N12</xm:sqref>
        </x14:conditionalFormatting>
        <x14:conditionalFormatting xmlns:xm="http://schemas.microsoft.com/office/excel/2006/main">
          <x14:cfRule type="iconSet" priority="118" id="{be07f3ad-8256-485e-89b8-d8f137a6d0df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Q12</xm:sqref>
        </x14:conditionalFormatting>
        <x14:conditionalFormatting xmlns:xm="http://schemas.microsoft.com/office/excel/2006/main">
          <x14:cfRule type="iconSet" priority="141" id="{f4339e3e-3d8b-4098-bab4-13c6aafb284c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K13</xm:sqref>
        </x14:conditionalFormatting>
        <x14:conditionalFormatting xmlns:xm="http://schemas.microsoft.com/office/excel/2006/main">
          <x14:cfRule type="iconSet" priority="129" id="{32228d3e-f8ea-4dd2-91aa-f415eedc1406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N13</xm:sqref>
        </x14:conditionalFormatting>
        <x14:conditionalFormatting xmlns:xm="http://schemas.microsoft.com/office/excel/2006/main">
          <x14:cfRule type="iconSet" priority="117" id="{99853f23-14c1-4ebd-ac45-a2d1df289441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Q13</xm:sqref>
        </x14:conditionalFormatting>
        <x14:conditionalFormatting xmlns:xm="http://schemas.microsoft.com/office/excel/2006/main">
          <x14:cfRule type="iconSet" priority="140" id="{f8e75aff-0a90-42a6-a28a-3cadbb807d36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K14</xm:sqref>
        </x14:conditionalFormatting>
        <x14:conditionalFormatting xmlns:xm="http://schemas.microsoft.com/office/excel/2006/main">
          <x14:cfRule type="iconSet" priority="128" id="{a4a61068-3980-4d6c-9e8c-bb27b9dfe0ca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N14</xm:sqref>
        </x14:conditionalFormatting>
        <x14:conditionalFormatting xmlns:xm="http://schemas.microsoft.com/office/excel/2006/main">
          <x14:cfRule type="iconSet" priority="116" id="{89c851b0-77d9-40e5-a957-45836bbac97c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Q14</xm:sqref>
        </x14:conditionalFormatting>
        <x14:conditionalFormatting xmlns:xm="http://schemas.microsoft.com/office/excel/2006/main">
          <x14:cfRule type="iconSet" priority="139" id="{b1e8fd1d-516b-4ecb-9433-4bcc53e3613a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K15</xm:sqref>
        </x14:conditionalFormatting>
        <x14:conditionalFormatting xmlns:xm="http://schemas.microsoft.com/office/excel/2006/main">
          <x14:cfRule type="iconSet" priority="127" id="{41de1146-6f63-4f2a-b3a0-429da6426144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N15</xm:sqref>
        </x14:conditionalFormatting>
        <x14:conditionalFormatting xmlns:xm="http://schemas.microsoft.com/office/excel/2006/main">
          <x14:cfRule type="iconSet" priority="115" id="{a3520c32-d7d2-40f2-9d55-68e7b30893bd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Q15</xm:sqref>
        </x14:conditionalFormatting>
        <x14:conditionalFormatting xmlns:xm="http://schemas.microsoft.com/office/excel/2006/main">
          <x14:cfRule type="iconSet" priority="138" id="{01b2d951-0743-48bd-a138-3d7af60fc199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K16</xm:sqref>
        </x14:conditionalFormatting>
        <x14:conditionalFormatting xmlns:xm="http://schemas.microsoft.com/office/excel/2006/main">
          <x14:cfRule type="iconSet" priority="126" id="{e5b4d1a5-bb46-45b4-a613-44c0ee9a0e6d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N16</xm:sqref>
        </x14:conditionalFormatting>
        <x14:conditionalFormatting xmlns:xm="http://schemas.microsoft.com/office/excel/2006/main">
          <x14:cfRule type="iconSet" priority="114" id="{fb9e6098-243c-4932-9bdb-d48a49edef43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Q16</xm:sqref>
        </x14:conditionalFormatting>
        <x14:conditionalFormatting xmlns:xm="http://schemas.microsoft.com/office/excel/2006/main">
          <x14:cfRule type="iconSet" priority="137" id="{3cba0441-f795-476b-af16-3eb0880c7884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K17</xm:sqref>
        </x14:conditionalFormatting>
        <x14:conditionalFormatting xmlns:xm="http://schemas.microsoft.com/office/excel/2006/main">
          <x14:cfRule type="iconSet" priority="125" id="{f69c6aef-7631-4c15-8991-62dacceb97fb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N17</xm:sqref>
        </x14:conditionalFormatting>
        <x14:conditionalFormatting xmlns:xm="http://schemas.microsoft.com/office/excel/2006/main">
          <x14:cfRule type="iconSet" priority="113" id="{9a486f69-3b4d-4dec-a5bf-d767415b0f4f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Q17</xm:sqref>
        </x14:conditionalFormatting>
        <x14:conditionalFormatting xmlns:xm="http://schemas.microsoft.com/office/excel/2006/main">
          <x14:cfRule type="iconSet" priority="136" id="{b4e13600-797e-4246-b884-ff58f2554b62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K18</xm:sqref>
        </x14:conditionalFormatting>
        <x14:conditionalFormatting xmlns:xm="http://schemas.microsoft.com/office/excel/2006/main">
          <x14:cfRule type="iconSet" priority="124" id="{f1d44564-d0c3-447a-9b70-849a8c8cd99d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N18</xm:sqref>
        </x14:conditionalFormatting>
        <x14:conditionalFormatting xmlns:xm="http://schemas.microsoft.com/office/excel/2006/main">
          <x14:cfRule type="iconSet" priority="112" id="{2f3e8acd-967e-4997-a6a3-72b66a2a3c52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Q18</xm:sqref>
        </x14:conditionalFormatting>
        <x14:conditionalFormatting xmlns:xm="http://schemas.microsoft.com/office/excel/2006/main">
          <x14:cfRule type="iconSet" priority="135" id="{6c52ef8e-11a8-4fab-b387-3b5eb34d27d1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K19</xm:sqref>
        </x14:conditionalFormatting>
        <x14:conditionalFormatting xmlns:xm="http://schemas.microsoft.com/office/excel/2006/main">
          <x14:cfRule type="iconSet" priority="123" id="{92482708-df90-4bb0-b5fe-1f0892ce0330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N19</xm:sqref>
        </x14:conditionalFormatting>
        <x14:conditionalFormatting xmlns:xm="http://schemas.microsoft.com/office/excel/2006/main">
          <x14:cfRule type="iconSet" priority="111" id="{74dc8ad8-8c14-4717-9350-043300dedaa8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Q19</xm:sqref>
        </x14:conditionalFormatting>
        <x14:conditionalFormatting xmlns:xm="http://schemas.microsoft.com/office/excel/2006/main">
          <x14:cfRule type="iconSet" priority="134" id="{ff833355-4b91-4d46-a5e3-dd490a6df61d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K20</xm:sqref>
        </x14:conditionalFormatting>
        <x14:conditionalFormatting xmlns:xm="http://schemas.microsoft.com/office/excel/2006/main">
          <x14:cfRule type="iconSet" priority="122" id="{770753da-d644-4b45-82d5-d0dc3072e924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N20</xm:sqref>
        </x14:conditionalFormatting>
        <x14:conditionalFormatting xmlns:xm="http://schemas.microsoft.com/office/excel/2006/main">
          <x14:cfRule type="iconSet" priority="110" id="{f5b6a814-09a7-40ab-bd63-6331cd0c9591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Q20</xm:sqref>
        </x14:conditionalFormatting>
        <x14:conditionalFormatting xmlns:xm="http://schemas.microsoft.com/office/excel/2006/main">
          <x14:cfRule type="iconSet" priority="175" id="{88396615-1b65-49d9-bdba-efe567913f09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 K3:K8 K21:K1048576</xm:sqref>
        </x14:conditionalFormatting>
        <x14:conditionalFormatting xmlns:xm="http://schemas.microsoft.com/office/excel/2006/main">
          <x14:cfRule type="iconSet" priority="174" id="{e498a7b0-5980-4017-a2d4-e614977c45c1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N1 N3 N5:N8 N21:N1048576</xm:sqref>
        </x14:conditionalFormatting>
        <x14:conditionalFormatting xmlns:xm="http://schemas.microsoft.com/office/excel/2006/main">
          <x14:cfRule type="iconSet" priority="173" id="{469458fb-3059-447d-8450-7a97e3f2a7a3}">
            <x14:iconSet iconSet="3Symbol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Q1 Q3 Q5:Q8 Q21:Q1048576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登记表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素材来源网站当图网-www.99ppt.com</dc:title>
  <dc:subject>素材来源网站当图网-www.99ppt.com</dc:subject>
  <dc:creator>素材来源网站当图网-www.99ppt.com</dc:creator>
  <dc:description>素材来源网站当图网-www.99ppt.com</dc:description>
  <dcterms:created xsi:type="dcterms:W3CDTF">2021-03-31T07:49:00Z</dcterms:created>
  <dcterms:modified xsi:type="dcterms:W3CDTF">2021-03-31T08:17:31Z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559DB5389E214CEAB76965F6AFB73850</vt:lpwstr>
  </property>
  <property fmtid="{D5CDD505-2E9C-101B-9397-08002B2CF9AE}" pid="3" name="KSOProductBuildVer">
    <vt:lpwstr>2052-11.1.0.10356</vt:lpwstr>
  </property>
  <property fmtid="{D5CDD505-2E9C-101B-9397-08002B2CF9AE}" pid="4" name="KSOTemplateUUID">
    <vt:lpwstr>v1.0_mb_939bZFcV8YY7FPSO+mJ6Ow==</vt:lpwstr>
  </property>
  <property fmtid="{A09F084E-AD41-489F-8076-AA5BE3082BCA}" pid="100">
    <vt:ui4>5</vt:ui4>
  </property>
  <property fmtid="{64440492-4C8B-11D1-8B70-080036B11A03}" pid="11">
    <vt:lpwstr>素材来源网站当图网-www.99ppt.com</vt:lpwstr>
  </property>
</Properties>
</file>